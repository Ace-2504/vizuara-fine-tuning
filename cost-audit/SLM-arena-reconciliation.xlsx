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e-tuning detail" sheetId="2" state="visible" r:id="rId2"/>
    <sheet name="Evaluation detail" sheetId="3" state="visible" r:id="rId3"/>
    <sheet name="All frontend rows" sheetId="4" state="visible" r:id="rId4"/>
    <sheet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$#,##0.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6" fillId="3" borderId="1" applyAlignment="1" pivotButton="0" quotePrefix="0" xfId="0">
      <alignment horizontal="center"/>
    </xf>
    <xf numFmtId="0" fontId="6" fillId="0" borderId="1" pivotButton="0" quotePrefix="0" xfId="0"/>
    <xf numFmtId="0" fontId="6" fillId="4" borderId="1" applyAlignment="1" pivotButton="0" quotePrefix="0" xfId="0">
      <alignment horizontal="center"/>
    </xf>
    <xf numFmtId="164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3" borderId="1" pivotButton="0" quotePrefix="0" xfId="0"/>
    <xf numFmtId="0" fontId="6" fillId="0" borderId="1" applyAlignment="1" pivotButton="0" quotePrefix="0" xfId="0">
      <alignment horizontal="center"/>
    </xf>
    <xf numFmtId="164" fontId="4" fillId="3" borderId="1" pivotButton="0" quotePrefix="0" xfId="0"/>
    <xf numFmtId="0" fontId="5" fillId="0" borderId="1" pivotButton="0" quotePrefix="0" xfId="0"/>
    <xf numFmtId="165" fontId="6" fillId="0" borderId="1" pivotButton="0" quotePrefix="0" xfId="0"/>
    <xf numFmtId="164" fontId="6" fillId="4" borderId="1" pivotButton="0" quotePrefix="0" xfId="0"/>
    <xf numFmtId="0" fontId="7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cost audit</author>
  </authors>
  <commentList>
    <comment ref="B5" authorId="0" shapeId="0">
      <text>
        <t>Published on the arena's 'Cost to build' tab. Source: the four Modal dashboards, transcribed in SLM-cost-audit.xlsx.</t>
      </text>
    </comment>
    <comment ref="C5" authorId="0" shapeId="0">
      <text>
        <t>Sum of the DISTINCT cost rows across the 10 model sites that carry a cost table. Repeated rows (a checkpoint shown on the sites derived from it) are counted once.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2" customWidth="1" min="4" max="4"/>
    <col width="11" customWidth="1" min="5" max="5"/>
    <col width="74" customWidth="1" min="6" max="6"/>
  </cols>
  <sheetData>
    <row r="1">
      <c r="A1" s="1" t="inlineStr">
        <is>
          <t>Arena vs. individual model sites — per category</t>
        </is>
      </c>
    </row>
    <row r="2">
      <c r="A2" s="2" t="inlineStr">
        <is>
          <t>Do the arena's phase totals equal what the model sites display for the same work? Frontend figures are DE-DUPLICATED: one lineage shown on five sites is one cost, not five. State: AFTER the fix that closed the fine-tuning and evaluation gaps.</t>
        </is>
      </c>
    </row>
    <row r="4">
      <c r="A4" s="3" t="inlineStr">
        <is>
          <t>Category</t>
        </is>
      </c>
      <c r="B4" s="3" t="inlineStr">
        <is>
          <t>Arena shows</t>
        </is>
      </c>
      <c r="C4" s="3" t="inlineStr">
        <is>
          <t>Unique work on the sites</t>
        </is>
      </c>
      <c r="D4" s="3" t="inlineStr">
        <is>
          <t>Gap</t>
        </is>
      </c>
      <c r="E4" s="3" t="inlineStr">
        <is>
          <t>Match?</t>
        </is>
      </c>
      <c r="F4" s="3" t="inlineStr">
        <is>
          <t>Explanation</t>
        </is>
      </c>
    </row>
    <row r="5" ht="28" customHeight="1">
      <c r="A5" s="4" t="inlineStr">
        <is>
          <t>125M pretraining</t>
        </is>
      </c>
      <c r="B5" s="5" t="n">
        <v>70.14</v>
      </c>
      <c r="C5" s="5" t="n">
        <v>70.14</v>
      </c>
      <c r="D5" s="6">
        <f>B5-C5</f>
        <v/>
      </c>
      <c r="E5" s="7">
        <f>IF(ROUND(D5,2)=0,"MATCH","GAP")</f>
        <v/>
      </c>
      <c r="F5" s="8" t="inlineStr">
        <is>
          <t>Shown on all four 125M sites and the base site, but it is one lineage — counting it five times would give $350.70.</t>
        </is>
      </c>
    </row>
    <row r="6" ht="28" customHeight="1">
      <c r="A6" s="4" t="inlineStr">
        <is>
          <t>Fine-tuning</t>
        </is>
      </c>
      <c r="B6" s="5" t="n">
        <v>19.94</v>
      </c>
      <c r="C6" s="5" t="n">
        <v>19.94</v>
      </c>
      <c r="D6" s="6">
        <f>B6-C6</f>
        <v/>
      </c>
      <c r="E6" s="7">
        <f>IF(ROUND(D6,2)=0,"MATCH","GAP")</f>
        <v/>
      </c>
      <c r="F6" s="8" t="inlineStr">
        <is>
          <t>CLOSED. The 500M RAFT run ($1.74) now appears on the 500M base site, labelled as having no site of its own.</t>
        </is>
      </c>
    </row>
    <row r="7" ht="28" customHeight="1">
      <c r="A7" s="4" t="inlineStr">
        <is>
          <t>Evaluation</t>
        </is>
      </c>
      <c r="B7" s="5" t="n">
        <v>19.19</v>
      </c>
      <c r="C7" s="5" t="n">
        <v>19.19</v>
      </c>
      <c r="D7" s="6">
        <f>B7-C7</f>
        <v/>
      </c>
      <c r="E7" s="7">
        <f>IF(ROUND(D7,2)=0,"MATCH","GAP")</f>
        <v/>
      </c>
      <c r="F7" s="8" t="inlineStr">
        <is>
          <t>CLOSED. The three base models were given cost tables, so all 13 shares are now visible (sites round each to $1.48).</t>
        </is>
      </c>
    </row>
    <row r="8" ht="28" customHeight="1">
      <c r="A8" s="4" t="inlineStr">
        <is>
          <t>Alignment</t>
        </is>
      </c>
      <c r="B8" s="5" t="n">
        <v>5.23</v>
      </c>
      <c r="C8" s="5" t="n">
        <v>5.23</v>
      </c>
      <c r="D8" s="6">
        <f>B8-C8</f>
        <v/>
      </c>
      <c r="E8" s="7">
        <f>IF(ROUND(D8,2)=0,"MATCH","GAP")</f>
        <v/>
      </c>
      <c r="F8" s="8" t="inlineStr">
        <is>
          <t>The $0.06 reward model is split three ways at $0.02 and the shares add back to the whole.</t>
        </is>
      </c>
    </row>
    <row r="9" ht="28" customHeight="1">
      <c r="A9" s="4" t="inlineStr">
        <is>
          <t>Earlier SFT study</t>
        </is>
      </c>
      <c r="B9" s="5" t="n">
        <v>1.66</v>
      </c>
      <c r="C9" s="5" t="n">
        <v>0</v>
      </c>
      <c r="D9" s="6">
        <f>B9-C9</f>
        <v/>
      </c>
      <c r="E9" s="9">
        <f>IF(ROUND(D9,2)=0,"MATCH","GAP")</f>
        <v/>
      </c>
      <c r="F9" s="8" t="inlineStr">
        <is>
          <t>A separate project that preceded this build. Correctly absent — there is no model page to attribute it to.</t>
        </is>
      </c>
    </row>
    <row r="10" ht="28" customHeight="1">
      <c r="A10" s="4" t="inlineStr">
        <is>
          <t>Probes &amp; smoke tests</t>
        </is>
      </c>
      <c r="B10" s="5" t="n">
        <v>0.18</v>
      </c>
      <c r="C10" s="5" t="n">
        <v>0</v>
      </c>
      <c r="D10" s="6">
        <f>B10-C10</f>
        <v/>
      </c>
      <c r="E10" s="9">
        <f>IF(ROUND(D10,2)=0,"MATCH","GAP")</f>
        <v/>
      </c>
      <c r="F10" s="8" t="inlineStr">
        <is>
          <t>Not attributable to any published model.</t>
        </is>
      </c>
    </row>
    <row r="11" ht="28" customHeight="1">
      <c r="A11" s="4" t="inlineStr">
        <is>
          <t>Image builds &amp; exports</t>
        </is>
      </c>
      <c r="B11" s="5" t="n">
        <v>0.05</v>
      </c>
      <c r="C11" s="5" t="n">
        <v>0</v>
      </c>
      <c r="D11" s="6">
        <f>B11-C11</f>
        <v/>
      </c>
      <c r="E11" s="9">
        <f>IF(ROUND(D11,2)=0,"MATCH","GAP")</f>
        <v/>
      </c>
      <c r="F11" s="8" t="inlineStr">
        <is>
          <t>Container builds and checkpoint downloads.</t>
        </is>
      </c>
    </row>
    <row r="12">
      <c r="A12" s="4" t="inlineStr">
        <is>
          <t>TOTAL</t>
        </is>
      </c>
      <c r="B12" s="10">
        <f>SUM(B5:B11)</f>
        <v/>
      </c>
      <c r="C12" s="10">
        <f>SUM(C5:C11)</f>
        <v/>
      </c>
      <c r="D12" s="10">
        <f>B12-C12</f>
        <v/>
      </c>
      <c r="E12" s="8" t="inlineStr"/>
      <c r="F12" s="4" t="inlineStr">
        <is>
          <t>The $116.39 arena total is the invoiced Modal spend across all four accounts.</t>
        </is>
      </c>
    </row>
    <row r="14">
      <c r="A14" s="11" t="inlineStr">
        <is>
          <t>Bottom line</t>
        </is>
      </c>
    </row>
    <row r="15">
      <c r="A15" s="12" t="inlineStr">
        <is>
          <t>All four attributable categories now match exactly. The only remaining difference is $1.89 of</t>
        </is>
      </c>
    </row>
    <row r="16">
      <c r="A16" s="12" t="inlineStr">
        <is>
          <t>spend that belongs to no published model — the earlier SFT study, capability probes, and image</t>
        </is>
      </c>
    </row>
    <row r="17">
      <c r="A17" s="12" t="inlineStr">
        <is>
          <t>builds. There is no page on which to show it, so its absence is correct rather than a gap.</t>
        </is>
      </c>
    </row>
    <row r="18">
      <c r="A18" s="12" t="inlineStr">
        <is>
          <t>Gemini API spend was removed from the model sites entirely; it is published once, on the arena.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Fine-tuning — the $1.74 gap, item by item</t>
        </is>
      </c>
    </row>
    <row r="2">
      <c r="A2" s="2" t="inlineStr">
        <is>
          <t>Each fine-tune is one invoiced run. Some appear on several sites because DPO and RLAIF start from the QA-SFT checkpoint; that repetition is display, not extra cost.</t>
        </is>
      </c>
    </row>
    <row r="4">
      <c r="A4" s="3" t="inlineStr">
        <is>
          <t>Model</t>
        </is>
      </c>
      <c r="B4" s="3" t="inlineStr">
        <is>
          <t>Stage</t>
        </is>
      </c>
      <c r="C4" s="3" t="inlineStr">
        <is>
          <t>Invoiced</t>
        </is>
      </c>
      <c r="D4" s="3" t="inlineStr">
        <is>
          <t>Sites displaying it</t>
        </is>
      </c>
      <c r="E4" s="3" t="inlineStr">
        <is>
          <t>Times shown</t>
        </is>
      </c>
      <c r="F4" s="3" t="inlineStr">
        <is>
          <t>Counted once as</t>
        </is>
      </c>
    </row>
    <row r="5">
      <c r="A5" s="4" t="inlineStr">
        <is>
          <t>Gemma 2B</t>
        </is>
      </c>
      <c r="B5" s="8" t="inlineStr">
        <is>
          <t>QA-SFT</t>
        </is>
      </c>
      <c r="C5" s="5" t="n">
        <v>9.84</v>
      </c>
      <c r="D5" s="13" t="inlineStr">
        <is>
          <t>gemma-qa, gemma-dpo, gemma-rlaif</t>
        </is>
      </c>
      <c r="E5" s="14" t="n">
        <v>3</v>
      </c>
      <c r="F5" s="6">
        <f>IF(E5=0,0,C5)</f>
        <v/>
      </c>
    </row>
    <row r="6">
      <c r="A6" s="4" t="inlineStr">
        <is>
          <t>Gemma 2B</t>
        </is>
      </c>
      <c r="B6" s="8" t="inlineStr">
        <is>
          <t>RAFT</t>
        </is>
      </c>
      <c r="C6" s="5" t="n">
        <v>6.82</v>
      </c>
      <c r="D6" s="13" t="inlineStr">
        <is>
          <t>gemma-raft</t>
        </is>
      </c>
      <c r="E6" s="14" t="n">
        <v>1</v>
      </c>
      <c r="F6" s="6">
        <f>IF(E6=0,0,C6)</f>
        <v/>
      </c>
    </row>
    <row r="7">
      <c r="A7" s="4" t="inlineStr">
        <is>
          <t>SLM-500M</t>
        </is>
      </c>
      <c r="B7" s="8" t="inlineStr">
        <is>
          <t>QA-SFT</t>
        </is>
      </c>
      <c r="C7" s="5" t="n">
        <v>0.93</v>
      </c>
      <c r="D7" s="13" t="inlineStr">
        <is>
          <t>500m-dpo, 500m-rlaif</t>
        </is>
      </c>
      <c r="E7" s="14" t="n">
        <v>2</v>
      </c>
      <c r="F7" s="6">
        <f>IF(E7=0,0,C7)</f>
        <v/>
      </c>
    </row>
    <row r="8">
      <c r="A8" s="4" t="inlineStr">
        <is>
          <t>SLM-500M</t>
        </is>
      </c>
      <c r="B8" s="8" t="inlineStr">
        <is>
          <t>RAFT</t>
        </is>
      </c>
      <c r="C8" s="5" t="n">
        <v>1.74</v>
      </c>
      <c r="D8" s="13" t="inlineStr">
        <is>
          <t>500m-base (no site of its own)</t>
        </is>
      </c>
      <c r="E8" s="14" t="n">
        <v>1</v>
      </c>
      <c r="F8" s="6">
        <f>IF(E8=0,0,C8)</f>
        <v/>
      </c>
    </row>
    <row r="9">
      <c r="A9" s="4" t="inlineStr">
        <is>
          <t>SLM-125M</t>
        </is>
      </c>
      <c r="B9" s="8" t="inlineStr">
        <is>
          <t>QA-SFT</t>
        </is>
      </c>
      <c r="C9" s="5" t="n">
        <v>0.2</v>
      </c>
      <c r="D9" s="13" t="inlineStr">
        <is>
          <t>125m-qa, 125m-dpo, 125m-rlaif</t>
        </is>
      </c>
      <c r="E9" s="14" t="n">
        <v>3</v>
      </c>
      <c r="F9" s="6">
        <f>IF(E9=0,0,C9)</f>
        <v/>
      </c>
    </row>
    <row r="10">
      <c r="A10" s="4" t="inlineStr">
        <is>
          <t>SLM-125M</t>
        </is>
      </c>
      <c r="B10" s="8" t="inlineStr">
        <is>
          <t>RAFT</t>
        </is>
      </c>
      <c r="C10" s="5" t="n">
        <v>0.41</v>
      </c>
      <c r="D10" s="13" t="inlineStr">
        <is>
          <t>125m-raft</t>
        </is>
      </c>
      <c r="E10" s="14" t="n">
        <v>1</v>
      </c>
      <c r="F10" s="6">
        <f>IF(E10=0,0,C10)</f>
        <v/>
      </c>
    </row>
    <row r="11">
      <c r="B11" s="4" t="inlineStr">
        <is>
          <t>Invoiced total</t>
        </is>
      </c>
      <c r="C11" s="10">
        <f>SUM(C5:C10)</f>
        <v/>
      </c>
      <c r="D11" s="4" t="inlineStr">
        <is>
          <t>matches the arena's Fine-tuning row</t>
        </is>
      </c>
      <c r="E11" s="8" t="inlineStr"/>
      <c r="F11" s="10">
        <f>SUM(F5:F10)</f>
        <v/>
      </c>
    </row>
    <row r="12">
      <c r="B12" s="4" t="inlineStr">
        <is>
          <t>Gap</t>
        </is>
      </c>
      <c r="C12" s="15">
        <f>C11-F11</f>
        <v/>
      </c>
      <c r="D12" s="4" t="inlineStr">
        <is>
          <t>zero — the 500M RAFT run is now shown on the 500M base site</t>
        </is>
      </c>
      <c r="E12" s="8" t="inlineStr"/>
      <c r="F12" s="8" t="inlineStr"/>
    </row>
    <row r="15">
      <c r="A15" s="11" t="inlineStr">
        <is>
          <t>Naive sum, for contrast</t>
        </is>
      </c>
    </row>
    <row r="16">
      <c r="A16" s="12" t="inlineStr">
        <is>
          <t>Adding every fine-tuning row as displayed, without de-duplicating, gives $39.21 — roughly double the truth, because Gemma's QA-SFT alone is shown three times.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</cols>
  <sheetData>
    <row r="1">
      <c r="A1" s="1" t="inlineStr">
        <is>
          <t>Evaluation — one bill, thirteen shares</t>
        </is>
      </c>
    </row>
    <row r="2">
      <c r="A2" s="2" t="inlineStr">
        <is>
          <t>A single $19.19 evaluation run covered all 13 models. Each site shows its own share.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Invoiced evaluation total</t>
        </is>
      </c>
      <c r="B5" s="5" t="n">
        <v>19.19</v>
      </c>
      <c r="C5" s="8" t="inlineStr">
        <is>
          <t>eval.evaluate on the ace-compoz account (set1 + set2)</t>
        </is>
      </c>
    </row>
    <row r="6">
      <c r="A6" s="4" t="inlineStr">
        <is>
          <t>Models evaluated</t>
        </is>
      </c>
      <c r="B6" s="16" t="n">
        <v>13</v>
      </c>
      <c r="C6" s="8" t="inlineStr">
        <is>
          <t>every model in the arena, 500 held-out questions each</t>
        </is>
      </c>
    </row>
    <row r="7">
      <c r="A7" s="4" t="inlineStr">
        <is>
          <t>Exact share per model</t>
        </is>
      </c>
      <c r="B7" s="17">
        <f>B5/B6</f>
        <v/>
      </c>
      <c r="C7" s="8" t="inlineStr">
        <is>
          <t>the sites round this to $1.48</t>
        </is>
      </c>
    </row>
    <row r="8">
      <c r="A8" s="4" t="inlineStr">
        <is>
          <t>Sites carrying a cost table</t>
        </is>
      </c>
      <c r="B8" s="16" t="n">
        <v>13</v>
      </c>
      <c r="C8" s="8" t="inlineStr">
        <is>
          <t>all 13 — the three base models were given cost tables to close this gap</t>
        </is>
      </c>
    </row>
    <row r="9">
      <c r="A9" s="4" t="inlineStr">
        <is>
          <t>Shown across those sites</t>
        </is>
      </c>
      <c r="B9" s="6">
        <f>B7*B8</f>
        <v/>
      </c>
      <c r="C9" s="8" t="inlineStr">
        <is>
          <t>what a reader can actually see</t>
        </is>
      </c>
    </row>
    <row r="10">
      <c r="A10" s="4" t="inlineStr">
        <is>
          <t>Never shown</t>
        </is>
      </c>
      <c r="B10" s="18">
        <f>B7*(B6-B8)</f>
        <v/>
      </c>
      <c r="C10" s="8" t="inlineStr">
        <is>
          <t>nothing — every share is now published</t>
        </is>
      </c>
    </row>
    <row r="11">
      <c r="A11" s="4" t="inlineStr">
        <is>
          <t>Check: shown + never shown</t>
        </is>
      </c>
      <c r="B11" s="15">
        <f>B9+B10</f>
        <v/>
      </c>
      <c r="C11" s="4" t="inlineStr">
        <is>
          <t>equals the invoiced total, so the split is complete</t>
        </is>
      </c>
    </row>
    <row r="13">
      <c r="A13" s="4" t="inlineStr">
        <is>
          <t>Rounding note</t>
        </is>
      </c>
      <c r="C13" s="8" t="inlineStr">
        <is>
          <t>13 sites x $1.48 displayed = $19.24, five cents above the exact $19.19. Immaterial.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</cols>
  <sheetData>
    <row r="1">
      <c r="A1" s="1" t="inlineStr">
        <is>
          <t>Every cost row on every model site</t>
        </is>
      </c>
    </row>
    <row r="2">
      <c r="A2" s="2" t="inlineStr">
        <is>
          <t>Extracted from slm-frontends/lib/models.ts — 38 rows across 10 sites. This is the raw evidence behind the Summary sheet.</t>
        </is>
      </c>
    </row>
    <row r="4">
      <c r="A4" s="3" t="inlineStr">
        <is>
          <t>Site</t>
        </is>
      </c>
      <c r="B4" s="3" t="inlineStr">
        <is>
          <t>Category</t>
        </is>
      </c>
      <c r="C4" s="3" t="inlineStr">
        <is>
          <t>Stage</t>
        </is>
      </c>
      <c r="D4" s="3" t="inlineStr">
        <is>
          <t>Cost as displayed</t>
        </is>
      </c>
    </row>
    <row r="5">
      <c r="A5" s="8" t="inlineStr">
        <is>
          <t>125m-dpo</t>
        </is>
      </c>
      <c r="B5" s="8" t="inlineStr">
        <is>
          <t>Alignment</t>
        </is>
      </c>
      <c r="C5" s="8" t="inlineStr">
        <is>
          <t>DPO alignment</t>
        </is>
      </c>
      <c r="D5" s="6" t="n">
        <v>0.02</v>
      </c>
    </row>
    <row r="6">
      <c r="A6" s="8" t="inlineStr">
        <is>
          <t>125m-rlaif</t>
        </is>
      </c>
      <c r="B6" s="8" t="inlineStr">
        <is>
          <t>Alignment</t>
        </is>
      </c>
      <c r="C6" s="8" t="inlineStr">
        <is>
          <t>Reward model</t>
        </is>
      </c>
      <c r="D6" s="6" t="n">
        <v>0.02</v>
      </c>
    </row>
    <row r="7">
      <c r="A7" s="8" t="inlineStr">
        <is>
          <t>125m-rlaif</t>
        </is>
      </c>
      <c r="B7" s="8" t="inlineStr">
        <is>
          <t>Alignment</t>
        </is>
      </c>
      <c r="C7" s="8" t="inlineStr">
        <is>
          <t>PPO alignment</t>
        </is>
      </c>
      <c r="D7" s="6" t="n">
        <v>0.08</v>
      </c>
    </row>
    <row r="8">
      <c r="A8" s="8" t="inlineStr">
        <is>
          <t>500m-dpo</t>
        </is>
      </c>
      <c r="B8" s="8" t="inlineStr">
        <is>
          <t>Alignment</t>
        </is>
      </c>
      <c r="C8" s="8" t="inlineStr">
        <is>
          <t>DPO alignment</t>
        </is>
      </c>
      <c r="D8" s="6" t="n">
        <v>0.08</v>
      </c>
    </row>
    <row r="9">
      <c r="A9" s="8" t="inlineStr">
        <is>
          <t>500m-rlaif</t>
        </is>
      </c>
      <c r="B9" s="8" t="inlineStr">
        <is>
          <t>Alignment</t>
        </is>
      </c>
      <c r="C9" s="8" t="inlineStr">
        <is>
          <t>Reward model</t>
        </is>
      </c>
      <c r="D9" s="6" t="n">
        <v>0.02</v>
      </c>
    </row>
    <row r="10">
      <c r="A10" s="8" t="inlineStr">
        <is>
          <t>500m-rlaif</t>
        </is>
      </c>
      <c r="B10" s="8" t="inlineStr">
        <is>
          <t>Alignment</t>
        </is>
      </c>
      <c r="C10" s="8" t="inlineStr">
        <is>
          <t>PPO alignment</t>
        </is>
      </c>
      <c r="D10" s="6" t="n">
        <v>0.33</v>
      </c>
    </row>
    <row r="11">
      <c r="A11" s="8" t="inlineStr">
        <is>
          <t>gemma-dpo</t>
        </is>
      </c>
      <c r="B11" s="8" t="inlineStr">
        <is>
          <t>Alignment</t>
        </is>
      </c>
      <c r="C11" s="8" t="inlineStr">
        <is>
          <t>QLoRA-DPO alignment</t>
        </is>
      </c>
      <c r="D11" s="6" t="n">
        <v>0.43</v>
      </c>
    </row>
    <row r="12">
      <c r="A12" s="8" t="inlineStr">
        <is>
          <t>gemma-rlaif</t>
        </is>
      </c>
      <c r="B12" s="8" t="inlineStr">
        <is>
          <t>Alignment</t>
        </is>
      </c>
      <c r="C12" s="8" t="inlineStr">
        <is>
          <t>Reward model</t>
        </is>
      </c>
      <c r="D12" s="6" t="n">
        <v>0.02</v>
      </c>
    </row>
    <row r="13">
      <c r="A13" s="8" t="inlineStr">
        <is>
          <t>gemma-rlaif</t>
        </is>
      </c>
      <c r="B13" s="8" t="inlineStr">
        <is>
          <t>Alignment</t>
        </is>
      </c>
      <c r="C13" s="8" t="inlineStr">
        <is>
          <t>PPO alignment</t>
        </is>
      </c>
      <c r="D13" s="6" t="n">
        <v>4.23</v>
      </c>
    </row>
    <row r="14">
      <c r="A14" s="8" t="inlineStr">
        <is>
          <t>125m-base</t>
        </is>
      </c>
      <c r="B14" s="8" t="inlineStr">
        <is>
          <t>Evaluation</t>
        </is>
      </c>
      <c r="C14" s="8" t="inlineStr">
        <is>
          <t>Evaluation (shared)</t>
        </is>
      </c>
      <c r="D14" s="6" t="n">
        <v>1.48</v>
      </c>
    </row>
    <row r="15">
      <c r="A15" s="8" t="inlineStr">
        <is>
          <t>125m-dpo</t>
        </is>
      </c>
      <c r="B15" s="8" t="inlineStr">
        <is>
          <t>Evaluation</t>
        </is>
      </c>
      <c r="C15" s="8" t="inlineStr">
        <is>
          <t>Evaluation (shared)</t>
        </is>
      </c>
      <c r="D15" s="6" t="n">
        <v>1.48</v>
      </c>
    </row>
    <row r="16">
      <c r="A16" s="8" t="inlineStr">
        <is>
          <t>125m-qa</t>
        </is>
      </c>
      <c r="B16" s="8" t="inlineStr">
        <is>
          <t>Evaluation</t>
        </is>
      </c>
      <c r="C16" s="8" t="inlineStr">
        <is>
          <t>Evaluation (shared)</t>
        </is>
      </c>
      <c r="D16" s="6" t="n">
        <v>1.48</v>
      </c>
    </row>
    <row r="17">
      <c r="A17" s="8" t="inlineStr">
        <is>
          <t>125m-raft</t>
        </is>
      </c>
      <c r="B17" s="8" t="inlineStr">
        <is>
          <t>Evaluation</t>
        </is>
      </c>
      <c r="C17" s="8" t="inlineStr">
        <is>
          <t>Evaluation (shared)</t>
        </is>
      </c>
      <c r="D17" s="6" t="n">
        <v>1.48</v>
      </c>
    </row>
    <row r="18">
      <c r="A18" s="8" t="inlineStr">
        <is>
          <t>125m-rlaif</t>
        </is>
      </c>
      <c r="B18" s="8" t="inlineStr">
        <is>
          <t>Evaluation</t>
        </is>
      </c>
      <c r="C18" s="8" t="inlineStr">
        <is>
          <t>Evaluation (shared)</t>
        </is>
      </c>
      <c r="D18" s="6" t="n">
        <v>1.48</v>
      </c>
    </row>
    <row r="19">
      <c r="A19" s="8" t="inlineStr">
        <is>
          <t>500m-base</t>
        </is>
      </c>
      <c r="B19" s="8" t="inlineStr">
        <is>
          <t>Evaluation</t>
        </is>
      </c>
      <c r="C19" s="8" t="inlineStr">
        <is>
          <t>Evaluation (shared)</t>
        </is>
      </c>
      <c r="D19" s="6" t="n">
        <v>1.48</v>
      </c>
    </row>
    <row r="20">
      <c r="A20" s="8" t="inlineStr">
        <is>
          <t>500m-dpo</t>
        </is>
      </c>
      <c r="B20" s="8" t="inlineStr">
        <is>
          <t>Evaluation</t>
        </is>
      </c>
      <c r="C20" s="8" t="inlineStr">
        <is>
          <t>Evaluation (shared)</t>
        </is>
      </c>
      <c r="D20" s="6" t="n">
        <v>1.48</v>
      </c>
    </row>
    <row r="21">
      <c r="A21" s="8" t="inlineStr">
        <is>
          <t>500m-rlaif</t>
        </is>
      </c>
      <c r="B21" s="8" t="inlineStr">
        <is>
          <t>Evaluation</t>
        </is>
      </c>
      <c r="C21" s="8" t="inlineStr">
        <is>
          <t>Evaluation (shared)</t>
        </is>
      </c>
      <c r="D21" s="6" t="n">
        <v>1.48</v>
      </c>
    </row>
    <row r="22">
      <c r="A22" s="8" t="inlineStr">
        <is>
          <t>gemma-base</t>
        </is>
      </c>
      <c r="B22" s="8" t="inlineStr">
        <is>
          <t>Evaluation</t>
        </is>
      </c>
      <c r="C22" s="8" t="inlineStr">
        <is>
          <t>Evaluation (shared)</t>
        </is>
      </c>
      <c r="D22" s="6" t="n">
        <v>1.48</v>
      </c>
    </row>
    <row r="23">
      <c r="A23" s="8" t="inlineStr">
        <is>
          <t>gemma-dpo</t>
        </is>
      </c>
      <c r="B23" s="8" t="inlineStr">
        <is>
          <t>Evaluation</t>
        </is>
      </c>
      <c r="C23" s="8" t="inlineStr">
        <is>
          <t>Evaluation (shared)</t>
        </is>
      </c>
      <c r="D23" s="6" t="n">
        <v>1.48</v>
      </c>
    </row>
    <row r="24">
      <c r="A24" s="8" t="inlineStr">
        <is>
          <t>gemma-qa</t>
        </is>
      </c>
      <c r="B24" s="8" t="inlineStr">
        <is>
          <t>Evaluation</t>
        </is>
      </c>
      <c r="C24" s="8" t="inlineStr">
        <is>
          <t>Evaluation (shared)</t>
        </is>
      </c>
      <c r="D24" s="6" t="n">
        <v>1.48</v>
      </c>
    </row>
    <row r="25">
      <c r="A25" s="8" t="inlineStr">
        <is>
          <t>gemma-raft</t>
        </is>
      </c>
      <c r="B25" s="8" t="inlineStr">
        <is>
          <t>Evaluation</t>
        </is>
      </c>
      <c r="C25" s="8" t="inlineStr">
        <is>
          <t>Evaluation (shared)</t>
        </is>
      </c>
      <c r="D25" s="6" t="n">
        <v>1.48</v>
      </c>
    </row>
    <row r="26">
      <c r="A26" s="8" t="inlineStr">
        <is>
          <t>gemma-rlaif</t>
        </is>
      </c>
      <c r="B26" s="8" t="inlineStr">
        <is>
          <t>Evaluation</t>
        </is>
      </c>
      <c r="C26" s="8" t="inlineStr">
        <is>
          <t>Evaluation (shared)</t>
        </is>
      </c>
      <c r="D26" s="6" t="n">
        <v>1.48</v>
      </c>
    </row>
    <row r="27">
      <c r="A27" s="8" t="inlineStr">
        <is>
          <t>125m-dpo</t>
        </is>
      </c>
      <c r="B27" s="8" t="inlineStr">
        <is>
          <t>Fine-tuning</t>
        </is>
      </c>
      <c r="C27" s="8" t="inlineStr">
        <is>
          <t>QA supervised fine-tune</t>
        </is>
      </c>
      <c r="D27" s="6" t="n">
        <v>0.2</v>
      </c>
    </row>
    <row r="28">
      <c r="A28" s="8" t="inlineStr">
        <is>
          <t>125m-qa</t>
        </is>
      </c>
      <c r="B28" s="8" t="inlineStr">
        <is>
          <t>Fine-tuning</t>
        </is>
      </c>
      <c r="C28" s="8" t="inlineStr">
        <is>
          <t>QA supervised fine-tune</t>
        </is>
      </c>
      <c r="D28" s="6" t="n">
        <v>0.2</v>
      </c>
    </row>
    <row r="29">
      <c r="A29" s="8" t="inlineStr">
        <is>
          <t>125m-raft</t>
        </is>
      </c>
      <c r="B29" s="8" t="inlineStr">
        <is>
          <t>Fine-tuning</t>
        </is>
      </c>
      <c r="C29" s="8" t="inlineStr">
        <is>
          <t>RAFT fine-tune</t>
        </is>
      </c>
      <c r="D29" s="6" t="n">
        <v>0.41</v>
      </c>
    </row>
    <row r="30">
      <c r="A30" s="8" t="inlineStr">
        <is>
          <t>125m-rlaif</t>
        </is>
      </c>
      <c r="B30" s="8" t="inlineStr">
        <is>
          <t>Fine-tuning</t>
        </is>
      </c>
      <c r="C30" s="8" t="inlineStr">
        <is>
          <t>QA supervised fine-tune</t>
        </is>
      </c>
      <c r="D30" s="6" t="n">
        <v>0.2</v>
      </c>
    </row>
    <row r="31">
      <c r="A31" s="8" t="inlineStr">
        <is>
          <t>500m-base</t>
        </is>
      </c>
      <c r="B31" s="8" t="inlineStr">
        <is>
          <t>Fine-tuning</t>
        </is>
      </c>
      <c r="C31" s="8" t="inlineStr">
        <is>
          <t>RAFT fine-tune</t>
        </is>
      </c>
      <c r="D31" s="6" t="n">
        <v>1.74</v>
      </c>
    </row>
    <row r="32">
      <c r="A32" s="8" t="inlineStr">
        <is>
          <t>500m-dpo</t>
        </is>
      </c>
      <c r="B32" s="8" t="inlineStr">
        <is>
          <t>Fine-tuning</t>
        </is>
      </c>
      <c r="C32" s="8" t="inlineStr">
        <is>
          <t>QA supervised fine-tune</t>
        </is>
      </c>
      <c r="D32" s="6" t="n">
        <v>0.93</v>
      </c>
    </row>
    <row r="33">
      <c r="A33" s="8" t="inlineStr">
        <is>
          <t>500m-rlaif</t>
        </is>
      </c>
      <c r="B33" s="8" t="inlineStr">
        <is>
          <t>Fine-tuning</t>
        </is>
      </c>
      <c r="C33" s="8" t="inlineStr">
        <is>
          <t>QA supervised fine-tune</t>
        </is>
      </c>
      <c r="D33" s="6" t="n">
        <v>0.93</v>
      </c>
    </row>
    <row r="34">
      <c r="A34" s="8" t="inlineStr">
        <is>
          <t>gemma-dpo</t>
        </is>
      </c>
      <c r="B34" s="8" t="inlineStr">
        <is>
          <t>Fine-tuning</t>
        </is>
      </c>
      <c r="C34" s="8" t="inlineStr">
        <is>
          <t>QLoRA QA fine-tune</t>
        </is>
      </c>
      <c r="D34" s="6" t="n">
        <v>9.84</v>
      </c>
    </row>
    <row r="35">
      <c r="A35" s="8" t="inlineStr">
        <is>
          <t>gemma-qa</t>
        </is>
      </c>
      <c r="B35" s="8" t="inlineStr">
        <is>
          <t>Fine-tuning</t>
        </is>
      </c>
      <c r="C35" s="8" t="inlineStr">
        <is>
          <t>QLoRA fine-tune</t>
        </is>
      </c>
      <c r="D35" s="6" t="n">
        <v>9.84</v>
      </c>
    </row>
    <row r="36">
      <c r="A36" s="8" t="inlineStr">
        <is>
          <t>gemma-raft</t>
        </is>
      </c>
      <c r="B36" s="8" t="inlineStr">
        <is>
          <t>Fine-tuning</t>
        </is>
      </c>
      <c r="C36" s="8" t="inlineStr">
        <is>
          <t>QLoRA RAFT fine-tune</t>
        </is>
      </c>
      <c r="D36" s="6" t="n">
        <v>6.82</v>
      </c>
    </row>
    <row r="37">
      <c r="A37" s="8" t="inlineStr">
        <is>
          <t>gemma-rlaif</t>
        </is>
      </c>
      <c r="B37" s="8" t="inlineStr">
        <is>
          <t>Fine-tuning</t>
        </is>
      </c>
      <c r="C37" s="8" t="inlineStr">
        <is>
          <t>QLoRA QA fine-tune</t>
        </is>
      </c>
      <c r="D37" s="6" t="n">
        <v>9.84</v>
      </c>
    </row>
    <row r="38">
      <c r="A38" s="8" t="inlineStr">
        <is>
          <t>125m-base</t>
        </is>
      </c>
      <c r="B38" s="8" t="inlineStr">
        <is>
          <t>Pretraining</t>
        </is>
      </c>
      <c r="C38" s="8" t="inlineStr">
        <is>
          <t>125M pretraining (4 legs)</t>
        </is>
      </c>
      <c r="D38" s="6" t="n">
        <v>70.14</v>
      </c>
    </row>
    <row r="39">
      <c r="A39" s="8" t="inlineStr">
        <is>
          <t>125m-dpo</t>
        </is>
      </c>
      <c r="B39" s="8" t="inlineStr">
        <is>
          <t>Pretraining</t>
        </is>
      </c>
      <c r="C39" s="8" t="inlineStr">
        <is>
          <t>125M pretraining (4 legs)</t>
        </is>
      </c>
      <c r="D39" s="6" t="n">
        <v>70.14</v>
      </c>
    </row>
    <row r="40">
      <c r="A40" s="8" t="inlineStr">
        <is>
          <t>125m-qa</t>
        </is>
      </c>
      <c r="B40" s="8" t="inlineStr">
        <is>
          <t>Pretraining</t>
        </is>
      </c>
      <c r="C40" s="8" t="inlineStr">
        <is>
          <t>125M pretraining (4 legs)</t>
        </is>
      </c>
      <c r="D40" s="6" t="n">
        <v>70.14</v>
      </c>
    </row>
    <row r="41">
      <c r="A41" s="8" t="inlineStr">
        <is>
          <t>125m-raft</t>
        </is>
      </c>
      <c r="B41" s="8" t="inlineStr">
        <is>
          <t>Pretraining</t>
        </is>
      </c>
      <c r="C41" s="8" t="inlineStr">
        <is>
          <t>125M pretraining (4 legs)</t>
        </is>
      </c>
      <c r="D41" s="6" t="n">
        <v>70.14</v>
      </c>
    </row>
    <row r="42">
      <c r="A42" s="8" t="inlineStr">
        <is>
          <t>125m-rlaif</t>
        </is>
      </c>
      <c r="B42" s="8" t="inlineStr">
        <is>
          <t>Pretraining</t>
        </is>
      </c>
      <c r="C42" s="8" t="inlineStr">
        <is>
          <t>125M pretraining (4 legs)</t>
        </is>
      </c>
      <c r="D42" s="6" t="n">
        <v>70.14</v>
      </c>
    </row>
    <row r="43">
      <c r="C43" s="4" t="inlineStr">
        <is>
          <t>Naive total (double-counts repeated work)</t>
        </is>
      </c>
      <c r="D43" s="10">
        <f>SUM(D5:D42)</f>
        <v/>
      </c>
    </row>
    <row r="45">
      <c r="A45" s="2" t="inlineStr">
        <is>
          <t>This naive total is NOT a meaningful figure — it is here only to show why de-duplication is necessary.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2" customWidth="1" min="3" max="3"/>
  </cols>
  <sheetData>
    <row r="1">
      <c r="A1" s="1" t="inlineStr">
        <is>
          <t>Closing the loop</t>
        </is>
      </c>
    </row>
    <row r="2">
      <c r="A2" s="2" t="inlineStr">
        <is>
          <t>Does every invoiced dollar land somewhere? The components below must sum to $116.39.</t>
        </is>
      </c>
    </row>
    <row r="4">
      <c r="A4" s="3" t="inlineStr">
        <is>
          <t>Component</t>
        </is>
      </c>
      <c r="B4" s="3" t="inlineStr">
        <is>
          <t>Amount</t>
        </is>
      </c>
      <c r="C4" s="3" t="inlineStr">
        <is>
          <t>Where it appears</t>
        </is>
      </c>
    </row>
    <row r="5">
      <c r="A5" s="8" t="inlineStr">
        <is>
          <t>125M pretraining</t>
        </is>
      </c>
      <c r="B5" s="5" t="n">
        <v>70.14</v>
      </c>
      <c r="C5" s="8" t="inlineStr">
        <is>
          <t>the 125M model sites, and the e4 site as four legs</t>
        </is>
      </c>
    </row>
    <row r="6">
      <c r="A6" s="8" t="inlineStr">
        <is>
          <t>Fine-tuning</t>
        </is>
      </c>
      <c r="B6" s="5" t="n">
        <v>19.94</v>
      </c>
      <c r="C6" s="8" t="inlineStr">
        <is>
          <t>every QA-SFT and RAFT row, de-duplicated</t>
        </is>
      </c>
    </row>
    <row r="7">
      <c r="A7" s="8" t="inlineStr">
        <is>
          <t>Alignment</t>
        </is>
      </c>
      <c r="B7" s="5" t="n">
        <v>5.23</v>
      </c>
      <c r="C7" s="8" t="inlineStr">
        <is>
          <t>DPO, PPO and the shared reward model</t>
        </is>
      </c>
    </row>
    <row r="8">
      <c r="A8" s="8" t="inlineStr">
        <is>
          <t>Evaluation</t>
        </is>
      </c>
      <c r="B8" s="5" t="n">
        <v>19.19</v>
      </c>
      <c r="C8" s="8" t="inlineStr">
        <is>
          <t>all 13 sites now show their share</t>
        </is>
      </c>
    </row>
    <row r="9">
      <c r="A9" s="8" t="inlineStr">
        <is>
          <t>Study, probes, builds</t>
        </is>
      </c>
      <c r="B9" s="5" t="n">
        <v>1.89</v>
      </c>
      <c r="C9" s="8" t="inlineStr">
        <is>
          <t>not attributable to any published model</t>
        </is>
      </c>
    </row>
    <row r="10">
      <c r="A10" s="4" t="inlineStr">
        <is>
          <t>Sum</t>
        </is>
      </c>
      <c r="B10" s="10">
        <f>SUM(B5:B9)</f>
        <v/>
      </c>
      <c r="C10" s="8" t="inlineStr"/>
    </row>
    <row r="11">
      <c r="A11" s="4" t="inlineStr">
        <is>
          <t>Total invoiced across 4 Modal accounts</t>
        </is>
      </c>
      <c r="B11" s="5" t="n">
        <v>116.39</v>
      </c>
      <c r="C11" s="8" t="inlineStr">
        <is>
          <t>ace-2504 $30.36 + ace-compoz $30.29 + singh1621 $28.26 + aceaynon2504 $27.48</t>
        </is>
      </c>
    </row>
    <row r="12">
      <c r="A12" s="4" t="inlineStr">
        <is>
          <t>Difference</t>
        </is>
      </c>
      <c r="B12" s="15">
        <f>B10-B11</f>
        <v/>
      </c>
      <c r="C12" s="4" t="inlineStr">
        <is>
          <t>zero — nothing double-counted, nothing dropped</t>
        </is>
      </c>
    </row>
    <row r="15">
      <c r="A15" s="19" t="inlineStr">
        <is>
          <t>Gemini API — published once, on the arena</t>
        </is>
      </c>
    </row>
    <row r="16">
      <c r="A16" s="3" t="inlineStr">
        <is>
          <t>Source</t>
        </is>
      </c>
      <c r="B16" s="3" t="inlineStr">
        <is>
          <t>Amount</t>
        </is>
      </c>
      <c r="C16" s="3" t="inlineStr">
        <is>
          <t>Note</t>
        </is>
      </c>
    </row>
    <row r="17">
      <c r="A17" s="8" t="inlineStr">
        <is>
          <t>Arena 'Cost to build' tab</t>
        </is>
      </c>
      <c r="B17" s="16" t="inlineStr">
        <is>
          <t>Rs 2,215</t>
        </is>
      </c>
      <c r="C17" s="8" t="inlineStr">
        <is>
          <t>the combined API bill, as supplied by Harman</t>
        </is>
      </c>
    </row>
    <row r="18">
      <c r="A18" s="8" t="inlineStr">
        <is>
          <t>Gemini rows on the model sites</t>
        </is>
      </c>
      <c r="B18" s="5" t="n">
        <v>0</v>
      </c>
      <c r="C18" s="8" t="inlineStr">
        <is>
          <t>all 16 removed — the previous $6.90 was an unverified estimate</t>
        </is>
      </c>
    </row>
    <row r="19" ht="28" customHeight="1">
      <c r="A19" s="4" t="inlineStr">
        <is>
          <t>Status</t>
        </is>
      </c>
      <c r="B19" s="20" t="inlineStr">
        <is>
          <t>SINGLE SOURCE</t>
        </is>
      </c>
      <c r="C19" s="4" t="inlineStr">
        <is>
          <t>One figure, one place. Nothing to reconcile: Modal spend is per-model, the Gemini bill is reported only as a whole.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2026-07-26T18:19:10Z</dcterms:created>
  <dcterms:modified xsi:type="dcterms:W3CDTF">2026-07-26T18:19:10Z</dcterms:modified>
</cp:coreProperties>
</file>